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계산" sheetId="2" state="visible" r:id="rId2"/>
    <sheet name="읽는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i val="1"/>
      <color rgb="00CC0000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996600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49" fontId="6" fillId="3" borderId="1" pivotButton="0" quotePrefix="0" xfId="0"/>
    <xf numFmtId="49" fontId="7" fillId="4" borderId="1" pivotButton="0" quotePrefix="0" xfId="0"/>
    <xf numFmtId="164" fontId="6" fillId="3" borderId="1" pivotButton="0" quotePrefix="0" xfId="0"/>
    <xf numFmtId="164" fontId="7" fillId="4" borderId="1" pivotButton="0" quotePrefix="0" xfId="0"/>
    <xf numFmtId="165" fontId="6" fillId="3" borderId="1" pivotButton="0" quotePrefix="0" xfId="0"/>
    <xf numFmtId="165" fontId="7" fillId="4" borderId="1" pivotButton="0" quotePrefix="0" xfId="0"/>
    <xf numFmtId="0" fontId="8" fillId="5" borderId="1" pivotButton="0" quotePrefix="0" xfId="0"/>
    <xf numFmtId="0" fontId="5" fillId="0" borderId="1" pivotButton="0" quotePrefix="0" xfId="0"/>
    <xf numFmtId="3" fontId="6" fillId="3" borderId="1" pivotButton="0" quotePrefix="0" xfId="0"/>
    <xf numFmtId="3" fontId="7" fillId="4" borderId="1" pivotButton="0" quotePrefix="0" xfId="0"/>
    <xf numFmtId="0" fontId="8" fillId="3" borderId="0" pivotButton="0" quotePrefix="0" xfId="0"/>
    <xf numFmtId="3" fontId="5" fillId="0" borderId="1" pivotButton="0" quotePrefix="0" xfId="0"/>
    <xf numFmtId="0" fontId="8" fillId="5" borderId="0" pivotButton="0" quotePrefix="0" xfId="0"/>
    <xf numFmtId="0" fontId="9" fillId="5" borderId="0" pivotButton="0" quotePrefix="0" xfId="0"/>
    <xf numFmtId="0" fontId="8" fillId="5" borderId="1" applyAlignment="1" pivotButton="0" quotePrefix="0" xfId="0">
      <alignment horizontal="center" wrapText="1"/>
    </xf>
    <xf numFmtId="164" fontId="5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/>
    </xf>
    <xf numFmtId="0" fontId="8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/>
    </xf>
    <xf numFmtId="0" fontId="8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OLIBANA — 공급자 견적 입력</t>
        </is>
      </c>
    </row>
    <row r="2">
      <c r="A2" s="2" t="inlineStr">
        <is>
          <t>노란 셀만 입력합니다. 계산은 '계산' 시트에서 자동으로 이뤄집니다.</t>
        </is>
      </c>
    </row>
    <row r="3">
      <c r="A3" s="3" t="inlineStr">
        <is>
          <t>B열 '예시'는 입력 형식을 보여주기 위한 가상 수치입니다. 실제 견적이 아니므로 무시하거나 지우십시오.</t>
        </is>
      </c>
    </row>
    <row r="5">
      <c r="A5" s="4" t="inlineStr">
        <is>
          <t>[1] 공통 가정</t>
        </is>
      </c>
      <c r="B5" s="4" t="inlineStr">
        <is>
          <t>예시</t>
        </is>
      </c>
      <c r="C5" s="4" t="inlineStr">
        <is>
          <t>← 여기에 입력</t>
        </is>
      </c>
      <c r="D5" s="5" t="n"/>
      <c r="E5" s="5" t="n"/>
      <c r="F5" s="5" t="n"/>
    </row>
    <row r="6">
      <c r="A6" s="6" t="inlineStr">
        <is>
          <t>통화 (예: JPY / KRW / USD)</t>
        </is>
      </c>
      <c r="B6" s="7" t="inlineStr">
        <is>
          <t>JPY</t>
        </is>
      </c>
      <c r="C6" s="8" t="n"/>
      <c r="G6" s="2" t="inlineStr">
        <is>
          <t>결제 수수료는 Stripe 기준 2.9% + 건당 고정액. 통화에 맞춰 조정.</t>
        </is>
      </c>
    </row>
    <row r="7">
      <c r="A7" s="6" t="inlineStr">
        <is>
          <t>판매가 (장당)</t>
        </is>
      </c>
      <c r="B7" s="9" t="n">
        <v>68000</v>
      </c>
      <c r="C7" s="10" t="n"/>
    </row>
    <row r="8">
      <c r="A8" s="6" t="inlineStr">
        <is>
          <t>결제 수수료율</t>
        </is>
      </c>
      <c r="B8" s="11" t="n">
        <v>0.029</v>
      </c>
      <c r="C8" s="12" t="n"/>
    </row>
    <row r="9">
      <c r="A9" s="6" t="inlineStr">
        <is>
          <t>결제 고정 수수료 (건당)</t>
        </is>
      </c>
      <c r="B9" s="9" t="n">
        <v>50</v>
      </c>
      <c r="C9" s="10" t="n"/>
    </row>
    <row r="10">
      <c r="A10" s="6" t="inlineStr">
        <is>
          <t>배송 보조 (장당)</t>
        </is>
      </c>
      <c r="B10" s="9" t="n">
        <v>1500</v>
      </c>
      <c r="C10" s="10" t="n"/>
      <c r="G10" s="2" t="inlineStr">
        <is>
          <t>반품 충당률: 실측 불가. 보수적으로 잡고 판매 후 교체.</t>
        </is>
      </c>
    </row>
    <row r="11">
      <c r="A11" s="6" t="inlineStr">
        <is>
          <t>반품 충당률</t>
        </is>
      </c>
      <c r="B11" s="11" t="n">
        <v>0.05</v>
      </c>
      <c r="C11" s="12" t="n"/>
    </row>
    <row r="13">
      <c r="A13" s="4" t="inlineStr">
        <is>
          <t>[2] 공급자별 고정비 · 조건</t>
        </is>
      </c>
      <c r="B13" s="5" t="n"/>
      <c r="C13" s="5" t="n"/>
      <c r="D13" s="5" t="n"/>
      <c r="E13" s="5" t="n"/>
      <c r="F13" s="5" t="n"/>
    </row>
    <row r="14">
      <c r="A14" s="13" t="inlineStr">
        <is>
          <t>항목</t>
        </is>
      </c>
      <c r="B14" s="13" t="inlineStr">
        <is>
          <t>예시</t>
        </is>
      </c>
      <c r="C14" s="13" t="inlineStr">
        <is>
          <t>공급자 1</t>
        </is>
      </c>
      <c r="D14" s="13" t="inlineStr">
        <is>
          <t>공급자 2</t>
        </is>
      </c>
      <c r="E14" s="13" t="inlineStr">
        <is>
          <t>공급자 3</t>
        </is>
      </c>
    </row>
    <row r="15">
      <c r="A15" s="14" t="inlineStr">
        <is>
          <t>공급자명</t>
        </is>
      </c>
      <c r="B15" s="7" t="inlineStr">
        <is>
          <t>(예시)</t>
        </is>
      </c>
      <c r="C15" s="8" t="n"/>
      <c r="D15" s="8" t="n"/>
      <c r="E15" s="8" t="n"/>
      <c r="G15" s="2" t="inlineStr">
        <is>
          <t>MOQ가 손익분기 수량보다 크면, 그 공급자로는 pre-order 최소 수량을 MOQ에 맞춰야 한다.</t>
        </is>
      </c>
    </row>
    <row r="16">
      <c r="A16" s="14" t="inlineStr">
        <is>
          <t>패턴 제작비</t>
        </is>
      </c>
      <c r="B16" s="9" t="n">
        <v>30000</v>
      </c>
      <c r="C16" s="10" t="n"/>
      <c r="D16" s="10" t="n"/>
      <c r="E16" s="10" t="n"/>
    </row>
    <row r="17">
      <c r="A17" s="14" t="inlineStr">
        <is>
          <t>그레이딩비</t>
        </is>
      </c>
      <c r="B17" s="9" t="n">
        <v>15000</v>
      </c>
      <c r="C17" s="10" t="n"/>
      <c r="D17" s="10" t="n"/>
      <c r="E17" s="10" t="n"/>
    </row>
    <row r="18">
      <c r="A18" s="14" t="inlineStr">
        <is>
          <t>샘플비</t>
        </is>
      </c>
      <c r="B18" s="9" t="n">
        <v>25000</v>
      </c>
      <c r="C18" s="10" t="n"/>
      <c r="D18" s="10" t="n"/>
      <c r="E18" s="10" t="n"/>
    </row>
    <row r="19">
      <c r="A19" s="14" t="inlineStr">
        <is>
          <t>MOQ (최소 수량)</t>
        </is>
      </c>
      <c r="B19" s="15" t="n">
        <v>50</v>
      </c>
      <c r="C19" s="16" t="n"/>
      <c r="D19" s="16" t="n"/>
      <c r="E19" s="16" t="n"/>
    </row>
    <row r="20">
      <c r="A20" s="14" t="inlineStr">
        <is>
          <t>리드타임 (일, 발주→출고)</t>
        </is>
      </c>
      <c r="B20" s="15" t="n">
        <v>60</v>
      </c>
      <c r="C20" s="16" t="n"/>
      <c r="D20" s="16" t="n"/>
      <c r="E20" s="16" t="n"/>
    </row>
    <row r="21">
      <c r="A21" s="14" t="inlineStr">
        <is>
          <t>원단 최소 구매 단위</t>
        </is>
      </c>
      <c r="B21" s="7" t="inlineStr">
        <is>
          <t>반 1본</t>
        </is>
      </c>
      <c r="C21" s="8" t="n"/>
      <c r="D21" s="8" t="n"/>
      <c r="E21" s="8" t="n"/>
      <c r="G21" s="2" t="inlineStr">
        <is>
          <t>원단 MOQ가 봉제 MOQ보다 큰 경우가 흔하다. 실질 MOQ를 결정하므로 반드시 확인.</t>
        </is>
      </c>
    </row>
    <row r="24">
      <c r="A24" s="4" t="inlineStr">
        <is>
          <t>[3] 수량 구간별 장당 변동원가</t>
        </is>
      </c>
      <c r="B24" s="5" t="n"/>
      <c r="C24" s="5" t="n"/>
      <c r="D24" s="5" t="n"/>
      <c r="E24" s="5" t="n"/>
      <c r="F24" s="5" t="n"/>
    </row>
    <row r="25">
      <c r="A25" s="2" t="inlineStr">
        <is>
          <t>공급자마다 아래 블록을 채웁니다. 수량 구간은 견적 요청과 동일하게 유지하십시오.</t>
        </is>
      </c>
    </row>
    <row r="27">
      <c r="A27" s="17" t="inlineStr">
        <is>
          <t>예시 (무시/삭제)</t>
        </is>
      </c>
    </row>
    <row r="28">
      <c r="A28" s="13" t="inlineStr">
        <is>
          <t>수량</t>
        </is>
      </c>
      <c r="B28" s="13" t="inlineStr">
        <is>
          <t>임가공(CMT)</t>
        </is>
      </c>
      <c r="C28" s="13" t="inlineStr">
        <is>
          <t>원단</t>
        </is>
      </c>
      <c r="D28" s="13" t="inlineStr">
        <is>
          <t>부자재</t>
        </is>
      </c>
      <c r="E28" s="13" t="inlineStr">
        <is>
          <t>라벨</t>
        </is>
      </c>
      <c r="F28" s="13" t="inlineStr">
        <is>
          <t>포장</t>
        </is>
      </c>
    </row>
    <row r="29">
      <c r="A29" s="18" t="n">
        <v>10</v>
      </c>
      <c r="B29" s="9" t="n">
        <v>12000</v>
      </c>
      <c r="C29" s="9" t="n">
        <v>8000</v>
      </c>
      <c r="D29" s="9" t="n">
        <v>2000</v>
      </c>
      <c r="E29" s="9" t="n">
        <v>300</v>
      </c>
      <c r="F29" s="9" t="n">
        <v>500</v>
      </c>
    </row>
    <row r="30">
      <c r="A30" s="18" t="n">
        <v>20</v>
      </c>
      <c r="B30" s="9" t="n">
        <v>10000</v>
      </c>
      <c r="C30" s="9" t="n">
        <v>7500</v>
      </c>
      <c r="D30" s="9" t="n">
        <v>1800</v>
      </c>
      <c r="E30" s="9" t="n">
        <v>280</v>
      </c>
      <c r="F30" s="9" t="n">
        <v>450</v>
      </c>
    </row>
    <row r="31">
      <c r="A31" s="18" t="n">
        <v>30</v>
      </c>
      <c r="B31" s="9" t="n">
        <v>9000</v>
      </c>
      <c r="C31" s="9" t="n">
        <v>7000</v>
      </c>
      <c r="D31" s="9" t="n">
        <v>1700</v>
      </c>
      <c r="E31" s="9" t="n">
        <v>260</v>
      </c>
      <c r="F31" s="9" t="n">
        <v>430</v>
      </c>
    </row>
    <row r="32">
      <c r="A32" s="18" t="n">
        <v>50</v>
      </c>
      <c r="B32" s="9" t="n">
        <v>8000</v>
      </c>
      <c r="C32" s="9" t="n">
        <v>6500</v>
      </c>
      <c r="D32" s="9" t="n">
        <v>1600</v>
      </c>
      <c r="E32" s="9" t="n">
        <v>250</v>
      </c>
      <c r="F32" s="9" t="n">
        <v>400</v>
      </c>
    </row>
    <row r="33">
      <c r="A33" s="18" t="n">
        <v>100</v>
      </c>
      <c r="B33" s="9" t="n">
        <v>7000</v>
      </c>
      <c r="C33" s="9" t="n">
        <v>6000</v>
      </c>
      <c r="D33" s="9" t="n">
        <v>1500</v>
      </c>
      <c r="E33" s="9" t="n">
        <v>230</v>
      </c>
      <c r="F33" s="9" t="n">
        <v>380</v>
      </c>
    </row>
    <row r="35">
      <c r="A35" s="19" t="inlineStr">
        <is>
          <t>공급자 1</t>
        </is>
      </c>
    </row>
    <row r="36">
      <c r="A36" s="13" t="inlineStr">
        <is>
          <t>수량</t>
        </is>
      </c>
      <c r="B36" s="13" t="inlineStr">
        <is>
          <t>임가공(CMT)</t>
        </is>
      </c>
      <c r="C36" s="13" t="inlineStr">
        <is>
          <t>원단</t>
        </is>
      </c>
      <c r="D36" s="13" t="inlineStr">
        <is>
          <t>부자재</t>
        </is>
      </c>
      <c r="E36" s="13" t="inlineStr">
        <is>
          <t>라벨</t>
        </is>
      </c>
      <c r="F36" s="13" t="inlineStr">
        <is>
          <t>포장</t>
        </is>
      </c>
    </row>
    <row r="37">
      <c r="A37" s="18" t="n">
        <v>10</v>
      </c>
      <c r="B37" s="10" t="n"/>
      <c r="C37" s="10" t="n"/>
      <c r="D37" s="10" t="n"/>
      <c r="E37" s="10" t="n"/>
      <c r="F37" s="10" t="n"/>
    </row>
    <row r="38">
      <c r="A38" s="18" t="n">
        <v>20</v>
      </c>
      <c r="B38" s="10" t="n"/>
      <c r="C38" s="10" t="n"/>
      <c r="D38" s="10" t="n"/>
      <c r="E38" s="10" t="n"/>
      <c r="F38" s="10" t="n"/>
    </row>
    <row r="39">
      <c r="A39" s="18" t="n">
        <v>30</v>
      </c>
      <c r="B39" s="10" t="n"/>
      <c r="C39" s="10" t="n"/>
      <c r="D39" s="10" t="n"/>
      <c r="E39" s="10" t="n"/>
      <c r="F39" s="10" t="n"/>
    </row>
    <row r="40">
      <c r="A40" s="18" t="n">
        <v>50</v>
      </c>
      <c r="B40" s="10" t="n"/>
      <c r="C40" s="10" t="n"/>
      <c r="D40" s="10" t="n"/>
      <c r="E40" s="10" t="n"/>
      <c r="F40" s="10" t="n"/>
    </row>
    <row r="41">
      <c r="A41" s="18" t="n">
        <v>100</v>
      </c>
      <c r="B41" s="10" t="n"/>
      <c r="C41" s="10" t="n"/>
      <c r="D41" s="10" t="n"/>
      <c r="E41" s="10" t="n"/>
      <c r="F41" s="10" t="n"/>
    </row>
    <row r="43">
      <c r="A43" s="19" t="inlineStr">
        <is>
          <t>공급자 2</t>
        </is>
      </c>
    </row>
    <row r="44">
      <c r="A44" s="13" t="inlineStr">
        <is>
          <t>수량</t>
        </is>
      </c>
      <c r="B44" s="13" t="inlineStr">
        <is>
          <t>임가공(CMT)</t>
        </is>
      </c>
      <c r="C44" s="13" t="inlineStr">
        <is>
          <t>원단</t>
        </is>
      </c>
      <c r="D44" s="13" t="inlineStr">
        <is>
          <t>부자재</t>
        </is>
      </c>
      <c r="E44" s="13" t="inlineStr">
        <is>
          <t>라벨</t>
        </is>
      </c>
      <c r="F44" s="13" t="inlineStr">
        <is>
          <t>포장</t>
        </is>
      </c>
    </row>
    <row r="45">
      <c r="A45" s="18" t="n">
        <v>10</v>
      </c>
      <c r="B45" s="10" t="n"/>
      <c r="C45" s="10" t="n"/>
      <c r="D45" s="10" t="n"/>
      <c r="E45" s="10" t="n"/>
      <c r="F45" s="10" t="n"/>
    </row>
    <row r="46">
      <c r="A46" s="18" t="n">
        <v>20</v>
      </c>
      <c r="B46" s="10" t="n"/>
      <c r="C46" s="10" t="n"/>
      <c r="D46" s="10" t="n"/>
      <c r="E46" s="10" t="n"/>
      <c r="F46" s="10" t="n"/>
    </row>
    <row r="47">
      <c r="A47" s="18" t="n">
        <v>30</v>
      </c>
      <c r="B47" s="10" t="n"/>
      <c r="C47" s="10" t="n"/>
      <c r="D47" s="10" t="n"/>
      <c r="E47" s="10" t="n"/>
      <c r="F47" s="10" t="n"/>
    </row>
    <row r="48">
      <c r="A48" s="18" t="n">
        <v>50</v>
      </c>
      <c r="B48" s="10" t="n"/>
      <c r="C48" s="10" t="n"/>
      <c r="D48" s="10" t="n"/>
      <c r="E48" s="10" t="n"/>
      <c r="F48" s="10" t="n"/>
    </row>
    <row r="49">
      <c r="A49" s="18" t="n">
        <v>100</v>
      </c>
      <c r="B49" s="10" t="n"/>
      <c r="C49" s="10" t="n"/>
      <c r="D49" s="10" t="n"/>
      <c r="E49" s="10" t="n"/>
      <c r="F49" s="10" t="n"/>
    </row>
    <row r="51">
      <c r="A51" s="19" t="inlineStr">
        <is>
          <t>공급자 3</t>
        </is>
      </c>
    </row>
    <row r="52">
      <c r="A52" s="13" t="inlineStr">
        <is>
          <t>수량</t>
        </is>
      </c>
      <c r="B52" s="13" t="inlineStr">
        <is>
          <t>임가공(CMT)</t>
        </is>
      </c>
      <c r="C52" s="13" t="inlineStr">
        <is>
          <t>원단</t>
        </is>
      </c>
      <c r="D52" s="13" t="inlineStr">
        <is>
          <t>부자재</t>
        </is>
      </c>
      <c r="E52" s="13" t="inlineStr">
        <is>
          <t>라벨</t>
        </is>
      </c>
      <c r="F52" s="13" t="inlineStr">
        <is>
          <t>포장</t>
        </is>
      </c>
    </row>
    <row r="53">
      <c r="A53" s="18" t="n">
        <v>10</v>
      </c>
      <c r="B53" s="10" t="n"/>
      <c r="C53" s="10" t="n"/>
      <c r="D53" s="10" t="n"/>
      <c r="E53" s="10" t="n"/>
      <c r="F53" s="10" t="n"/>
    </row>
    <row r="54">
      <c r="A54" s="18" t="n">
        <v>20</v>
      </c>
      <c r="B54" s="10" t="n"/>
      <c r="C54" s="10" t="n"/>
      <c r="D54" s="10" t="n"/>
      <c r="E54" s="10" t="n"/>
      <c r="F54" s="10" t="n"/>
    </row>
    <row r="55">
      <c r="A55" s="18" t="n">
        <v>30</v>
      </c>
      <c r="B55" s="10" t="n"/>
      <c r="C55" s="10" t="n"/>
      <c r="D55" s="10" t="n"/>
      <c r="E55" s="10" t="n"/>
      <c r="F55" s="10" t="n"/>
    </row>
    <row r="56">
      <c r="A56" s="18" t="n">
        <v>50</v>
      </c>
      <c r="B56" s="10" t="n"/>
      <c r="C56" s="10" t="n"/>
      <c r="D56" s="10" t="n"/>
      <c r="E56" s="10" t="n"/>
      <c r="F56" s="10" t="n"/>
    </row>
    <row r="57">
      <c r="A57" s="18" t="n">
        <v>100</v>
      </c>
      <c r="B57" s="10" t="n"/>
      <c r="C57" s="10" t="n"/>
      <c r="D57" s="10" t="n"/>
      <c r="E57" s="10" t="n"/>
      <c r="F57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OLIBANA — 손익분기 계산</t>
        </is>
      </c>
    </row>
    <row r="2">
      <c r="A2" s="2" t="inlineStr">
        <is>
          <t>'입력' 시트를 채우면 자동 계산됩니다. 이 시트는 편집하지 마십시오.</t>
        </is>
      </c>
    </row>
    <row r="4">
      <c r="A4" s="20" t="inlineStr">
        <is>
          <t>예시 (무시/삭제)</t>
        </is>
      </c>
    </row>
    <row r="5">
      <c r="A5" s="21" t="inlineStr">
        <is>
          <t>수량</t>
        </is>
      </c>
      <c r="B5" s="21" t="inlineStr">
        <is>
          <t>변동원가/장</t>
        </is>
      </c>
      <c r="C5" s="21" t="inlineStr">
        <is>
          <t>고정비배분/장</t>
        </is>
      </c>
      <c r="D5" s="21" t="inlineStr">
        <is>
          <t>실원가/장</t>
        </is>
      </c>
      <c r="E5" s="21" t="inlineStr">
        <is>
          <t>결제수수료/장</t>
        </is>
      </c>
      <c r="F5" s="21" t="inlineStr">
        <is>
          <t>배송보조/장</t>
        </is>
      </c>
      <c r="G5" s="21" t="inlineStr">
        <is>
          <t>반품충당/장</t>
        </is>
      </c>
      <c r="H5" s="21" t="inlineStr">
        <is>
          <t>기여이익/장</t>
        </is>
      </c>
      <c r="I5" s="21" t="inlineStr">
        <is>
          <t>기여이익률</t>
        </is>
      </c>
      <c r="J5" s="21" t="inlineStr">
        <is>
          <t>판정</t>
        </is>
      </c>
    </row>
    <row r="6">
      <c r="A6" s="18">
        <f>입력!A29</f>
        <v/>
      </c>
      <c r="B6" s="22">
        <f>IF(COUNT(입력!B29:F29)=0,"",SUM(입력!B29:F29))</f>
        <v/>
      </c>
      <c r="C6" s="22">
        <f>IF(입력!A29=0,"",IFERROR((입력!B16+입력!B17+입력!B18)/입력!A29,""))</f>
        <v/>
      </c>
      <c r="D6" s="22">
        <f>IF(OR(B6="",C6=""),"",B6+C6)</f>
        <v/>
      </c>
      <c r="E6" s="22">
        <f>IF(입력!B7="","",입력!B7*입력!B8+입력!B9)</f>
        <v/>
      </c>
      <c r="F6" s="22">
        <f>입력!B10</f>
        <v/>
      </c>
      <c r="G6" s="22">
        <f>IF(입력!B7="","",입력!B7*입력!B11)</f>
        <v/>
      </c>
      <c r="H6" s="22">
        <f>IF(D6="","",입력!B7-D6-E6-F6-G6)</f>
        <v/>
      </c>
      <c r="I6" s="23">
        <f>IF(OR(H6="",입력!B7="",입력!B7=0),"",H6/입력!B7)</f>
        <v/>
      </c>
      <c r="J6" s="24">
        <f>IF(H6="","-",IF(H6&gt;0,"흑자","적자"))</f>
        <v/>
      </c>
    </row>
    <row r="7">
      <c r="A7" s="18">
        <f>입력!A30</f>
        <v/>
      </c>
      <c r="B7" s="22">
        <f>IF(COUNT(입력!B30:F30)=0,"",SUM(입력!B30:F30))</f>
        <v/>
      </c>
      <c r="C7" s="22">
        <f>IF(입력!A30=0,"",IFERROR((입력!B16+입력!B17+입력!B18)/입력!A30,""))</f>
        <v/>
      </c>
      <c r="D7" s="22">
        <f>IF(OR(B7="",C7=""),"",B7+C7)</f>
        <v/>
      </c>
      <c r="E7" s="22">
        <f>IF(입력!B7="","",입력!B7*입력!B8+입력!B9)</f>
        <v/>
      </c>
      <c r="F7" s="22">
        <f>입력!B10</f>
        <v/>
      </c>
      <c r="G7" s="22">
        <f>IF(입력!B7="","",입력!B7*입력!B11)</f>
        <v/>
      </c>
      <c r="H7" s="22">
        <f>IF(D7="","",입력!B7-D7-E7-F7-G7)</f>
        <v/>
      </c>
      <c r="I7" s="23">
        <f>IF(OR(H7="",입력!B7="",입력!B7=0),"",H7/입력!B7)</f>
        <v/>
      </c>
      <c r="J7" s="24">
        <f>IF(H7="","-",IF(H7&gt;0,"흑자","적자"))</f>
        <v/>
      </c>
    </row>
    <row r="8">
      <c r="A8" s="18">
        <f>입력!A31</f>
        <v/>
      </c>
      <c r="B8" s="22">
        <f>IF(COUNT(입력!B31:F31)=0,"",SUM(입력!B31:F31))</f>
        <v/>
      </c>
      <c r="C8" s="22">
        <f>IF(입력!A31=0,"",IFERROR((입력!B16+입력!B17+입력!B18)/입력!A31,""))</f>
        <v/>
      </c>
      <c r="D8" s="22">
        <f>IF(OR(B8="",C8=""),"",B8+C8)</f>
        <v/>
      </c>
      <c r="E8" s="22">
        <f>IF(입력!B7="","",입력!B7*입력!B8+입력!B9)</f>
        <v/>
      </c>
      <c r="F8" s="22">
        <f>입력!B10</f>
        <v/>
      </c>
      <c r="G8" s="22">
        <f>IF(입력!B7="","",입력!B7*입력!B11)</f>
        <v/>
      </c>
      <c r="H8" s="22">
        <f>IF(D8="","",입력!B7-D8-E8-F8-G8)</f>
        <v/>
      </c>
      <c r="I8" s="23">
        <f>IF(OR(H8="",입력!B7="",입력!B7=0),"",H8/입력!B7)</f>
        <v/>
      </c>
      <c r="J8" s="24">
        <f>IF(H8="","-",IF(H8&gt;0,"흑자","적자"))</f>
        <v/>
      </c>
    </row>
    <row r="9">
      <c r="A9" s="18">
        <f>입력!A32</f>
        <v/>
      </c>
      <c r="B9" s="22">
        <f>IF(COUNT(입력!B32:F32)=0,"",SUM(입력!B32:F32))</f>
        <v/>
      </c>
      <c r="C9" s="22">
        <f>IF(입력!A32=0,"",IFERROR((입력!B16+입력!B17+입력!B18)/입력!A32,""))</f>
        <v/>
      </c>
      <c r="D9" s="22">
        <f>IF(OR(B9="",C9=""),"",B9+C9)</f>
        <v/>
      </c>
      <c r="E9" s="22">
        <f>IF(입력!B7="","",입력!B7*입력!B8+입력!B9)</f>
        <v/>
      </c>
      <c r="F9" s="22">
        <f>입력!B10</f>
        <v/>
      </c>
      <c r="G9" s="22">
        <f>IF(입력!B7="","",입력!B7*입력!B11)</f>
        <v/>
      </c>
      <c r="H9" s="22">
        <f>IF(D9="","",입력!B7-D9-E9-F9-G9)</f>
        <v/>
      </c>
      <c r="I9" s="23">
        <f>IF(OR(H9="",입력!B7="",입력!B7=0),"",H9/입력!B7)</f>
        <v/>
      </c>
      <c r="J9" s="24">
        <f>IF(H9="","-",IF(H9&gt;0,"흑자","적자"))</f>
        <v/>
      </c>
    </row>
    <row r="10">
      <c r="A10" s="18">
        <f>입력!A33</f>
        <v/>
      </c>
      <c r="B10" s="22">
        <f>IF(COUNT(입력!B33:F33)=0,"",SUM(입력!B33:F33))</f>
        <v/>
      </c>
      <c r="C10" s="22">
        <f>IF(입력!A33=0,"",IFERROR((입력!B16+입력!B17+입력!B18)/입력!A33,""))</f>
        <v/>
      </c>
      <c r="D10" s="22">
        <f>IF(OR(B10="",C10=""),"",B10+C10)</f>
        <v/>
      </c>
      <c r="E10" s="22">
        <f>IF(입력!B7="","",입력!B7*입력!B8+입력!B9)</f>
        <v/>
      </c>
      <c r="F10" s="22">
        <f>입력!B10</f>
        <v/>
      </c>
      <c r="G10" s="22">
        <f>IF(입력!B7="","",입력!B7*입력!B11)</f>
        <v/>
      </c>
      <c r="H10" s="22">
        <f>IF(D10="","",입력!B7-D10-E10-F10-G10)</f>
        <v/>
      </c>
      <c r="I10" s="23">
        <f>IF(OR(H10="",입력!B7="",입력!B7=0),"",H10/입력!B7)</f>
        <v/>
      </c>
      <c r="J10" s="24">
        <f>IF(H10="","-",IF(H10&gt;0,"흑자","적자"))</f>
        <v/>
      </c>
    </row>
    <row r="11">
      <c r="A11" s="25" t="inlineStr">
        <is>
          <t>손익분기 수량</t>
        </is>
      </c>
      <c r="B11" s="26">
        <f>IF(COUNT(H6:H10)=0,"입력 대기",IF(COUNTIF(H6:H10,"&lt;=0")&gt;=5,"구간 내 흑자 없음",INDEX(A6:A10,COUNTIF(H6:H10,"&lt;=0")+1)))</f>
        <v/>
      </c>
      <c r="C11" s="2" t="inlineStr">
        <is>
          <t>← pre-order 최소 수량</t>
        </is>
      </c>
      <c r="E11" s="3">
        <f>IF(입력!B19="","",IF(ISNUMBER(B11)=FALSE,"",IF(입력!B19&gt;B11,"⚠ MOQ &gt; 손익분기 → 실질 최소수량은 MOQ","MOQ 충족")))</f>
        <v/>
      </c>
    </row>
    <row r="13">
      <c r="A13" s="20" t="inlineStr">
        <is>
          <t>공급자 1</t>
        </is>
      </c>
    </row>
    <row r="14">
      <c r="A14" s="21" t="inlineStr">
        <is>
          <t>수량</t>
        </is>
      </c>
      <c r="B14" s="21" t="inlineStr">
        <is>
          <t>변동원가/장</t>
        </is>
      </c>
      <c r="C14" s="21" t="inlineStr">
        <is>
          <t>고정비배분/장</t>
        </is>
      </c>
      <c r="D14" s="21" t="inlineStr">
        <is>
          <t>실원가/장</t>
        </is>
      </c>
      <c r="E14" s="21" t="inlineStr">
        <is>
          <t>결제수수료/장</t>
        </is>
      </c>
      <c r="F14" s="21" t="inlineStr">
        <is>
          <t>배송보조/장</t>
        </is>
      </c>
      <c r="G14" s="21" t="inlineStr">
        <is>
          <t>반품충당/장</t>
        </is>
      </c>
      <c r="H14" s="21" t="inlineStr">
        <is>
          <t>기여이익/장</t>
        </is>
      </c>
      <c r="I14" s="21" t="inlineStr">
        <is>
          <t>기여이익률</t>
        </is>
      </c>
      <c r="J14" s="21" t="inlineStr">
        <is>
          <t>판정</t>
        </is>
      </c>
    </row>
    <row r="15">
      <c r="A15" s="18">
        <f>입력!A37</f>
        <v/>
      </c>
      <c r="B15" s="22">
        <f>IF(COUNT(입력!B37:F37)=0,"",SUM(입력!B37:F37))</f>
        <v/>
      </c>
      <c r="C15" s="22">
        <f>IF(입력!A37=0,"",IFERROR((입력!C16+입력!C17+입력!C18)/입력!A37,""))</f>
        <v/>
      </c>
      <c r="D15" s="22">
        <f>IF(OR(B15="",C15=""),"",B15+C15)</f>
        <v/>
      </c>
      <c r="E15" s="22">
        <f>IF(입력!C7="","",입력!C7*입력!C8+입력!C9)</f>
        <v/>
      </c>
      <c r="F15" s="22">
        <f>입력!C10</f>
        <v/>
      </c>
      <c r="G15" s="22">
        <f>IF(입력!C7="","",입력!C7*입력!C11)</f>
        <v/>
      </c>
      <c r="H15" s="22">
        <f>IF(D15="","",입력!C7-D15-E15-F15-G15)</f>
        <v/>
      </c>
      <c r="I15" s="23">
        <f>IF(OR(H15="",입력!C7="",입력!C7=0),"",H15/입력!C7)</f>
        <v/>
      </c>
      <c r="J15" s="24">
        <f>IF(H15="","-",IF(H15&gt;0,"흑자","적자"))</f>
        <v/>
      </c>
    </row>
    <row r="16">
      <c r="A16" s="18">
        <f>입력!A38</f>
        <v/>
      </c>
      <c r="B16" s="22">
        <f>IF(COUNT(입력!B38:F38)=0,"",SUM(입력!B38:F38))</f>
        <v/>
      </c>
      <c r="C16" s="22">
        <f>IF(입력!A38=0,"",IFERROR((입력!C16+입력!C17+입력!C18)/입력!A38,""))</f>
        <v/>
      </c>
      <c r="D16" s="22">
        <f>IF(OR(B16="",C16=""),"",B16+C16)</f>
        <v/>
      </c>
      <c r="E16" s="22">
        <f>IF(입력!C7="","",입력!C7*입력!C8+입력!C9)</f>
        <v/>
      </c>
      <c r="F16" s="22">
        <f>입력!C10</f>
        <v/>
      </c>
      <c r="G16" s="22">
        <f>IF(입력!C7="","",입력!C7*입력!C11)</f>
        <v/>
      </c>
      <c r="H16" s="22">
        <f>IF(D16="","",입력!C7-D16-E16-F16-G16)</f>
        <v/>
      </c>
      <c r="I16" s="23">
        <f>IF(OR(H16="",입력!C7="",입력!C7=0),"",H16/입력!C7)</f>
        <v/>
      </c>
      <c r="J16" s="24">
        <f>IF(H16="","-",IF(H16&gt;0,"흑자","적자"))</f>
        <v/>
      </c>
    </row>
    <row r="17">
      <c r="A17" s="18">
        <f>입력!A39</f>
        <v/>
      </c>
      <c r="B17" s="22">
        <f>IF(COUNT(입력!B39:F39)=0,"",SUM(입력!B39:F39))</f>
        <v/>
      </c>
      <c r="C17" s="22">
        <f>IF(입력!A39=0,"",IFERROR((입력!C16+입력!C17+입력!C18)/입력!A39,""))</f>
        <v/>
      </c>
      <c r="D17" s="22">
        <f>IF(OR(B17="",C17=""),"",B17+C17)</f>
        <v/>
      </c>
      <c r="E17" s="22">
        <f>IF(입력!C7="","",입력!C7*입력!C8+입력!C9)</f>
        <v/>
      </c>
      <c r="F17" s="22">
        <f>입력!C10</f>
        <v/>
      </c>
      <c r="G17" s="22">
        <f>IF(입력!C7="","",입력!C7*입력!C11)</f>
        <v/>
      </c>
      <c r="H17" s="22">
        <f>IF(D17="","",입력!C7-D17-E17-F17-G17)</f>
        <v/>
      </c>
      <c r="I17" s="23">
        <f>IF(OR(H17="",입력!C7="",입력!C7=0),"",H17/입력!C7)</f>
        <v/>
      </c>
      <c r="J17" s="24">
        <f>IF(H17="","-",IF(H17&gt;0,"흑자","적자"))</f>
        <v/>
      </c>
    </row>
    <row r="18">
      <c r="A18" s="18">
        <f>입력!A40</f>
        <v/>
      </c>
      <c r="B18" s="22">
        <f>IF(COUNT(입력!B40:F40)=0,"",SUM(입력!B40:F40))</f>
        <v/>
      </c>
      <c r="C18" s="22">
        <f>IF(입력!A40=0,"",IFERROR((입력!C16+입력!C17+입력!C18)/입력!A40,""))</f>
        <v/>
      </c>
      <c r="D18" s="22">
        <f>IF(OR(B18="",C18=""),"",B18+C18)</f>
        <v/>
      </c>
      <c r="E18" s="22">
        <f>IF(입력!C7="","",입력!C7*입력!C8+입력!C9)</f>
        <v/>
      </c>
      <c r="F18" s="22">
        <f>입력!C10</f>
        <v/>
      </c>
      <c r="G18" s="22">
        <f>IF(입력!C7="","",입력!C7*입력!C11)</f>
        <v/>
      </c>
      <c r="H18" s="22">
        <f>IF(D18="","",입력!C7-D18-E18-F18-G18)</f>
        <v/>
      </c>
      <c r="I18" s="23">
        <f>IF(OR(H18="",입력!C7="",입력!C7=0),"",H18/입력!C7)</f>
        <v/>
      </c>
      <c r="J18" s="24">
        <f>IF(H18="","-",IF(H18&gt;0,"흑자","적자"))</f>
        <v/>
      </c>
    </row>
    <row r="19">
      <c r="A19" s="18">
        <f>입력!A41</f>
        <v/>
      </c>
      <c r="B19" s="22">
        <f>IF(COUNT(입력!B41:F41)=0,"",SUM(입력!B41:F41))</f>
        <v/>
      </c>
      <c r="C19" s="22">
        <f>IF(입력!A41=0,"",IFERROR((입력!C16+입력!C17+입력!C18)/입력!A41,""))</f>
        <v/>
      </c>
      <c r="D19" s="22">
        <f>IF(OR(B19="",C19=""),"",B19+C19)</f>
        <v/>
      </c>
      <c r="E19" s="22">
        <f>IF(입력!C7="","",입력!C7*입력!C8+입력!C9)</f>
        <v/>
      </c>
      <c r="F19" s="22">
        <f>입력!C10</f>
        <v/>
      </c>
      <c r="G19" s="22">
        <f>IF(입력!C7="","",입력!C7*입력!C11)</f>
        <v/>
      </c>
      <c r="H19" s="22">
        <f>IF(D19="","",입력!C7-D19-E19-F19-G19)</f>
        <v/>
      </c>
      <c r="I19" s="23">
        <f>IF(OR(H19="",입력!C7="",입력!C7=0),"",H19/입력!C7)</f>
        <v/>
      </c>
      <c r="J19" s="24">
        <f>IF(H19="","-",IF(H19&gt;0,"흑자","적자"))</f>
        <v/>
      </c>
    </row>
    <row r="20">
      <c r="A20" s="25" t="inlineStr">
        <is>
          <t>손익분기 수량</t>
        </is>
      </c>
      <c r="B20" s="26">
        <f>IF(COUNT(H15:H19)=0,"입력 대기",IF(COUNTIF(H15:H19,"&lt;=0")&gt;=5,"구간 내 흑자 없음",INDEX(A15:A19,COUNTIF(H15:H19,"&lt;=0")+1)))</f>
        <v/>
      </c>
      <c r="C20" s="2" t="inlineStr">
        <is>
          <t>← pre-order 최소 수량</t>
        </is>
      </c>
      <c r="E20" s="3">
        <f>IF(입력!C19="","",IF(ISNUMBER(B20)=FALSE,"",IF(입력!C19&gt;B20,"⚠ MOQ &gt; 손익분기 → 실질 최소수량은 MOQ","MOQ 충족")))</f>
        <v/>
      </c>
    </row>
    <row r="22">
      <c r="A22" s="20" t="inlineStr">
        <is>
          <t>공급자 2</t>
        </is>
      </c>
    </row>
    <row r="23">
      <c r="A23" s="21" t="inlineStr">
        <is>
          <t>수량</t>
        </is>
      </c>
      <c r="B23" s="21" t="inlineStr">
        <is>
          <t>변동원가/장</t>
        </is>
      </c>
      <c r="C23" s="21" t="inlineStr">
        <is>
          <t>고정비배분/장</t>
        </is>
      </c>
      <c r="D23" s="21" t="inlineStr">
        <is>
          <t>실원가/장</t>
        </is>
      </c>
      <c r="E23" s="21" t="inlineStr">
        <is>
          <t>결제수수료/장</t>
        </is>
      </c>
      <c r="F23" s="21" t="inlineStr">
        <is>
          <t>배송보조/장</t>
        </is>
      </c>
      <c r="G23" s="21" t="inlineStr">
        <is>
          <t>반품충당/장</t>
        </is>
      </c>
      <c r="H23" s="21" t="inlineStr">
        <is>
          <t>기여이익/장</t>
        </is>
      </c>
      <c r="I23" s="21" t="inlineStr">
        <is>
          <t>기여이익률</t>
        </is>
      </c>
      <c r="J23" s="21" t="inlineStr">
        <is>
          <t>판정</t>
        </is>
      </c>
    </row>
    <row r="24">
      <c r="A24" s="18">
        <f>입력!A45</f>
        <v/>
      </c>
      <c r="B24" s="22">
        <f>IF(COUNT(입력!B45:F45)=0,"",SUM(입력!B45:F45))</f>
        <v/>
      </c>
      <c r="C24" s="22">
        <f>IF(입력!A45=0,"",IFERROR((입력!D16+입력!D17+입력!D18)/입력!A45,""))</f>
        <v/>
      </c>
      <c r="D24" s="22">
        <f>IF(OR(B24="",C24=""),"",B24+C24)</f>
        <v/>
      </c>
      <c r="E24" s="22">
        <f>IF(입력!C7="","",입력!C7*입력!C8+입력!C9)</f>
        <v/>
      </c>
      <c r="F24" s="22">
        <f>입력!C10</f>
        <v/>
      </c>
      <c r="G24" s="22">
        <f>IF(입력!C7="","",입력!C7*입력!C11)</f>
        <v/>
      </c>
      <c r="H24" s="22">
        <f>IF(D24="","",입력!C7-D24-E24-F24-G24)</f>
        <v/>
      </c>
      <c r="I24" s="23">
        <f>IF(OR(H24="",입력!C7="",입력!C7=0),"",H24/입력!C7)</f>
        <v/>
      </c>
      <c r="J24" s="24">
        <f>IF(H24="","-",IF(H24&gt;0,"흑자","적자"))</f>
        <v/>
      </c>
    </row>
    <row r="25">
      <c r="A25" s="18">
        <f>입력!A46</f>
        <v/>
      </c>
      <c r="B25" s="22">
        <f>IF(COUNT(입력!B46:F46)=0,"",SUM(입력!B46:F46))</f>
        <v/>
      </c>
      <c r="C25" s="22">
        <f>IF(입력!A46=0,"",IFERROR((입력!D16+입력!D17+입력!D18)/입력!A46,""))</f>
        <v/>
      </c>
      <c r="D25" s="22">
        <f>IF(OR(B25="",C25=""),"",B25+C25)</f>
        <v/>
      </c>
      <c r="E25" s="22">
        <f>IF(입력!C7="","",입력!C7*입력!C8+입력!C9)</f>
        <v/>
      </c>
      <c r="F25" s="22">
        <f>입력!C10</f>
        <v/>
      </c>
      <c r="G25" s="22">
        <f>IF(입력!C7="","",입력!C7*입력!C11)</f>
        <v/>
      </c>
      <c r="H25" s="22">
        <f>IF(D25="","",입력!C7-D25-E25-F25-G25)</f>
        <v/>
      </c>
      <c r="I25" s="23">
        <f>IF(OR(H25="",입력!C7="",입력!C7=0),"",H25/입력!C7)</f>
        <v/>
      </c>
      <c r="J25" s="24">
        <f>IF(H25="","-",IF(H25&gt;0,"흑자","적자"))</f>
        <v/>
      </c>
    </row>
    <row r="26">
      <c r="A26" s="18">
        <f>입력!A47</f>
        <v/>
      </c>
      <c r="B26" s="22">
        <f>IF(COUNT(입력!B47:F47)=0,"",SUM(입력!B47:F47))</f>
        <v/>
      </c>
      <c r="C26" s="22">
        <f>IF(입력!A47=0,"",IFERROR((입력!D16+입력!D17+입력!D18)/입력!A47,""))</f>
        <v/>
      </c>
      <c r="D26" s="22">
        <f>IF(OR(B26="",C26=""),"",B26+C26)</f>
        <v/>
      </c>
      <c r="E26" s="22">
        <f>IF(입력!C7="","",입력!C7*입력!C8+입력!C9)</f>
        <v/>
      </c>
      <c r="F26" s="22">
        <f>입력!C10</f>
        <v/>
      </c>
      <c r="G26" s="22">
        <f>IF(입력!C7="","",입력!C7*입력!C11)</f>
        <v/>
      </c>
      <c r="H26" s="22">
        <f>IF(D26="","",입력!C7-D26-E26-F26-G26)</f>
        <v/>
      </c>
      <c r="I26" s="23">
        <f>IF(OR(H26="",입력!C7="",입력!C7=0),"",H26/입력!C7)</f>
        <v/>
      </c>
      <c r="J26" s="24">
        <f>IF(H26="","-",IF(H26&gt;0,"흑자","적자"))</f>
        <v/>
      </c>
    </row>
    <row r="27">
      <c r="A27" s="18">
        <f>입력!A48</f>
        <v/>
      </c>
      <c r="B27" s="22">
        <f>IF(COUNT(입력!B48:F48)=0,"",SUM(입력!B48:F48))</f>
        <v/>
      </c>
      <c r="C27" s="22">
        <f>IF(입력!A48=0,"",IFERROR((입력!D16+입력!D17+입력!D18)/입력!A48,""))</f>
        <v/>
      </c>
      <c r="D27" s="22">
        <f>IF(OR(B27="",C27=""),"",B27+C27)</f>
        <v/>
      </c>
      <c r="E27" s="22">
        <f>IF(입력!C7="","",입력!C7*입력!C8+입력!C9)</f>
        <v/>
      </c>
      <c r="F27" s="22">
        <f>입력!C10</f>
        <v/>
      </c>
      <c r="G27" s="22">
        <f>IF(입력!C7="","",입력!C7*입력!C11)</f>
        <v/>
      </c>
      <c r="H27" s="22">
        <f>IF(D27="","",입력!C7-D27-E27-F27-G27)</f>
        <v/>
      </c>
      <c r="I27" s="23">
        <f>IF(OR(H27="",입력!C7="",입력!C7=0),"",H27/입력!C7)</f>
        <v/>
      </c>
      <c r="J27" s="24">
        <f>IF(H27="","-",IF(H27&gt;0,"흑자","적자"))</f>
        <v/>
      </c>
    </row>
    <row r="28">
      <c r="A28" s="18">
        <f>입력!A49</f>
        <v/>
      </c>
      <c r="B28" s="22">
        <f>IF(COUNT(입력!B49:F49)=0,"",SUM(입력!B49:F49))</f>
        <v/>
      </c>
      <c r="C28" s="22">
        <f>IF(입력!A49=0,"",IFERROR((입력!D16+입력!D17+입력!D18)/입력!A49,""))</f>
        <v/>
      </c>
      <c r="D28" s="22">
        <f>IF(OR(B28="",C28=""),"",B28+C28)</f>
        <v/>
      </c>
      <c r="E28" s="22">
        <f>IF(입력!C7="","",입력!C7*입력!C8+입력!C9)</f>
        <v/>
      </c>
      <c r="F28" s="22">
        <f>입력!C10</f>
        <v/>
      </c>
      <c r="G28" s="22">
        <f>IF(입력!C7="","",입력!C7*입력!C11)</f>
        <v/>
      </c>
      <c r="H28" s="22">
        <f>IF(D28="","",입력!C7-D28-E28-F28-G28)</f>
        <v/>
      </c>
      <c r="I28" s="23">
        <f>IF(OR(H28="",입력!C7="",입력!C7=0),"",H28/입력!C7)</f>
        <v/>
      </c>
      <c r="J28" s="24">
        <f>IF(H28="","-",IF(H28&gt;0,"흑자","적자"))</f>
        <v/>
      </c>
    </row>
    <row r="29">
      <c r="A29" s="25" t="inlineStr">
        <is>
          <t>손익분기 수량</t>
        </is>
      </c>
      <c r="B29" s="26">
        <f>IF(COUNT(H24:H28)=0,"입력 대기",IF(COUNTIF(H24:H28,"&lt;=0")&gt;=5,"구간 내 흑자 없음",INDEX(A24:A28,COUNTIF(H24:H28,"&lt;=0")+1)))</f>
        <v/>
      </c>
      <c r="C29" s="2" t="inlineStr">
        <is>
          <t>← pre-order 최소 수량</t>
        </is>
      </c>
      <c r="E29" s="3">
        <f>IF(입력!D19="","",IF(ISNUMBER(B29)=FALSE,"",IF(입력!D19&gt;B29,"⚠ MOQ &gt; 손익분기 → 실질 최소수량은 MOQ","MOQ 충족")))</f>
        <v/>
      </c>
    </row>
    <row r="31">
      <c r="A31" s="20" t="inlineStr">
        <is>
          <t>공급자 3</t>
        </is>
      </c>
    </row>
    <row r="32">
      <c r="A32" s="21" t="inlineStr">
        <is>
          <t>수량</t>
        </is>
      </c>
      <c r="B32" s="21" t="inlineStr">
        <is>
          <t>변동원가/장</t>
        </is>
      </c>
      <c r="C32" s="21" t="inlineStr">
        <is>
          <t>고정비배분/장</t>
        </is>
      </c>
      <c r="D32" s="21" t="inlineStr">
        <is>
          <t>실원가/장</t>
        </is>
      </c>
      <c r="E32" s="21" t="inlineStr">
        <is>
          <t>결제수수료/장</t>
        </is>
      </c>
      <c r="F32" s="21" t="inlineStr">
        <is>
          <t>배송보조/장</t>
        </is>
      </c>
      <c r="G32" s="21" t="inlineStr">
        <is>
          <t>반품충당/장</t>
        </is>
      </c>
      <c r="H32" s="21" t="inlineStr">
        <is>
          <t>기여이익/장</t>
        </is>
      </c>
      <c r="I32" s="21" t="inlineStr">
        <is>
          <t>기여이익률</t>
        </is>
      </c>
      <c r="J32" s="21" t="inlineStr">
        <is>
          <t>판정</t>
        </is>
      </c>
    </row>
    <row r="33">
      <c r="A33" s="18">
        <f>입력!A53</f>
        <v/>
      </c>
      <c r="B33" s="22">
        <f>IF(COUNT(입력!B53:F53)=0,"",SUM(입력!B53:F53))</f>
        <v/>
      </c>
      <c r="C33" s="22">
        <f>IF(입력!A53=0,"",IFERROR((입력!E16+입력!E17+입력!E18)/입력!A53,""))</f>
        <v/>
      </c>
      <c r="D33" s="22">
        <f>IF(OR(B33="",C33=""),"",B33+C33)</f>
        <v/>
      </c>
      <c r="E33" s="22">
        <f>IF(입력!C7="","",입력!C7*입력!C8+입력!C9)</f>
        <v/>
      </c>
      <c r="F33" s="22">
        <f>입력!C10</f>
        <v/>
      </c>
      <c r="G33" s="22">
        <f>IF(입력!C7="","",입력!C7*입력!C11)</f>
        <v/>
      </c>
      <c r="H33" s="22">
        <f>IF(D33="","",입력!C7-D33-E33-F33-G33)</f>
        <v/>
      </c>
      <c r="I33" s="23">
        <f>IF(OR(H33="",입력!C7="",입력!C7=0),"",H33/입력!C7)</f>
        <v/>
      </c>
      <c r="J33" s="24">
        <f>IF(H33="","-",IF(H33&gt;0,"흑자","적자"))</f>
        <v/>
      </c>
    </row>
    <row r="34">
      <c r="A34" s="18">
        <f>입력!A54</f>
        <v/>
      </c>
      <c r="B34" s="22">
        <f>IF(COUNT(입력!B54:F54)=0,"",SUM(입력!B54:F54))</f>
        <v/>
      </c>
      <c r="C34" s="22">
        <f>IF(입력!A54=0,"",IFERROR((입력!E16+입력!E17+입력!E18)/입력!A54,""))</f>
        <v/>
      </c>
      <c r="D34" s="22">
        <f>IF(OR(B34="",C34=""),"",B34+C34)</f>
        <v/>
      </c>
      <c r="E34" s="22">
        <f>IF(입력!C7="","",입력!C7*입력!C8+입력!C9)</f>
        <v/>
      </c>
      <c r="F34" s="22">
        <f>입력!C10</f>
        <v/>
      </c>
      <c r="G34" s="22">
        <f>IF(입력!C7="","",입력!C7*입력!C11)</f>
        <v/>
      </c>
      <c r="H34" s="22">
        <f>IF(D34="","",입력!C7-D34-E34-F34-G34)</f>
        <v/>
      </c>
      <c r="I34" s="23">
        <f>IF(OR(H34="",입력!C7="",입력!C7=0),"",H34/입력!C7)</f>
        <v/>
      </c>
      <c r="J34" s="24">
        <f>IF(H34="","-",IF(H34&gt;0,"흑자","적자"))</f>
        <v/>
      </c>
    </row>
    <row r="35">
      <c r="A35" s="18">
        <f>입력!A55</f>
        <v/>
      </c>
      <c r="B35" s="22">
        <f>IF(COUNT(입력!B55:F55)=0,"",SUM(입력!B55:F55))</f>
        <v/>
      </c>
      <c r="C35" s="22">
        <f>IF(입력!A55=0,"",IFERROR((입력!E16+입력!E17+입력!E18)/입력!A55,""))</f>
        <v/>
      </c>
      <c r="D35" s="22">
        <f>IF(OR(B35="",C35=""),"",B35+C35)</f>
        <v/>
      </c>
      <c r="E35" s="22">
        <f>IF(입력!C7="","",입력!C7*입력!C8+입력!C9)</f>
        <v/>
      </c>
      <c r="F35" s="22">
        <f>입력!C10</f>
        <v/>
      </c>
      <c r="G35" s="22">
        <f>IF(입력!C7="","",입력!C7*입력!C11)</f>
        <v/>
      </c>
      <c r="H35" s="22">
        <f>IF(D35="","",입력!C7-D35-E35-F35-G35)</f>
        <v/>
      </c>
      <c r="I35" s="23">
        <f>IF(OR(H35="",입력!C7="",입력!C7=0),"",H35/입력!C7)</f>
        <v/>
      </c>
      <c r="J35" s="24">
        <f>IF(H35="","-",IF(H35&gt;0,"흑자","적자"))</f>
        <v/>
      </c>
    </row>
    <row r="36">
      <c r="A36" s="18">
        <f>입력!A56</f>
        <v/>
      </c>
      <c r="B36" s="22">
        <f>IF(COUNT(입력!B56:F56)=0,"",SUM(입력!B56:F56))</f>
        <v/>
      </c>
      <c r="C36" s="22">
        <f>IF(입력!A56=0,"",IFERROR((입력!E16+입력!E17+입력!E18)/입력!A56,""))</f>
        <v/>
      </c>
      <c r="D36" s="22">
        <f>IF(OR(B36="",C36=""),"",B36+C36)</f>
        <v/>
      </c>
      <c r="E36" s="22">
        <f>IF(입력!C7="","",입력!C7*입력!C8+입력!C9)</f>
        <v/>
      </c>
      <c r="F36" s="22">
        <f>입력!C10</f>
        <v/>
      </c>
      <c r="G36" s="22">
        <f>IF(입력!C7="","",입력!C7*입력!C11)</f>
        <v/>
      </c>
      <c r="H36" s="22">
        <f>IF(D36="","",입력!C7-D36-E36-F36-G36)</f>
        <v/>
      </c>
      <c r="I36" s="23">
        <f>IF(OR(H36="",입력!C7="",입력!C7=0),"",H36/입력!C7)</f>
        <v/>
      </c>
      <c r="J36" s="24">
        <f>IF(H36="","-",IF(H36&gt;0,"흑자","적자"))</f>
        <v/>
      </c>
    </row>
    <row r="37">
      <c r="A37" s="18">
        <f>입력!A57</f>
        <v/>
      </c>
      <c r="B37" s="22">
        <f>IF(COUNT(입력!B57:F57)=0,"",SUM(입력!B57:F57))</f>
        <v/>
      </c>
      <c r="C37" s="22">
        <f>IF(입력!A57=0,"",IFERROR((입력!E16+입력!E17+입력!E18)/입력!A57,""))</f>
        <v/>
      </c>
      <c r="D37" s="22">
        <f>IF(OR(B37="",C37=""),"",B37+C37)</f>
        <v/>
      </c>
      <c r="E37" s="22">
        <f>IF(입력!C7="","",입력!C7*입력!C8+입력!C9)</f>
        <v/>
      </c>
      <c r="F37" s="22">
        <f>입력!C10</f>
        <v/>
      </c>
      <c r="G37" s="22">
        <f>IF(입력!C7="","",입력!C7*입력!C11)</f>
        <v/>
      </c>
      <c r="H37" s="22">
        <f>IF(D37="","",입력!C7-D37-E37-F37-G37)</f>
        <v/>
      </c>
      <c r="I37" s="23">
        <f>IF(OR(H37="",입력!C7="",입력!C7=0),"",H37/입력!C7)</f>
        <v/>
      </c>
      <c r="J37" s="24">
        <f>IF(H37="","-",IF(H37&gt;0,"흑자","적자"))</f>
        <v/>
      </c>
    </row>
    <row r="38">
      <c r="A38" s="25" t="inlineStr">
        <is>
          <t>손익분기 수량</t>
        </is>
      </c>
      <c r="B38" s="26">
        <f>IF(COUNT(H33:H37)=0,"입력 대기",IF(COUNTIF(H33:H37,"&lt;=0")&gt;=5,"구간 내 흑자 없음",INDEX(A33:A37,COUNTIF(H33:H37,"&lt;=0")+1)))</f>
        <v/>
      </c>
      <c r="C38" s="2" t="inlineStr">
        <is>
          <t>← pre-order 최소 수량</t>
        </is>
      </c>
      <c r="E38" s="3">
        <f>IF(입력!E19="","",IF(ISNUMBER(B38)=FALSE,"",IF(입력!E19&gt;B38,"⚠ MOQ &gt; 손익분기 → 실질 최소수량은 MOQ","MOQ 충족")))</f>
        <v/>
      </c>
    </row>
    <row r="41">
      <c r="A41" s="25" t="inlineStr">
        <is>
          <t>판정 기준</t>
        </is>
      </c>
    </row>
    <row r="42">
      <c r="A42" s="2" t="inlineStr">
        <is>
          <t>기여이익/장 &gt; 0 이 되는 최소 수량이 손익분기 수량이며, 그것이 pre-order 최소 수량이 된다.</t>
        </is>
      </c>
    </row>
    <row r="43">
      <c r="A43" s="2" t="inlineStr">
        <is>
          <t>MOQ가 손익분기 수량보다 크면, 실질 최소 수량은 MOQ다.</t>
        </is>
      </c>
    </row>
    <row r="44">
      <c r="A44" s="2" t="inlineStr">
        <is>
          <t>'구간 내 흑자 없음'이 나오면 판매가가 낮거나 원가가 높다. 가격 재검토 또는 품목 변경.</t>
        </is>
      </c>
    </row>
    <row r="45">
      <c r="A45" s="2" t="inlineStr">
        <is>
          <t>입력이 비어 있으면 계산하지 않는다. 빈칸을 0으로 채우면 적자 상품이 흑자로 보인다.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사용법</t>
        </is>
      </c>
    </row>
    <row r="2">
      <c r="A2" s="27" t="inlineStr"/>
    </row>
    <row r="3">
      <c r="A3" s="27" t="inlineStr">
        <is>
          <t>1. '입력' 시트의 노란 셀만 채웁니다. 흰 셀과 '계산' 시트는 건드리지 않습니다.</t>
        </is>
      </c>
    </row>
    <row r="4">
      <c r="A4" s="27" t="inlineStr">
        <is>
          <t>2. B열 '예시'는 입력 형식을 보여주는 가상 수치입니다. 실제 견적이 아니며 지워도 됩니다.</t>
        </is>
      </c>
    </row>
    <row r="5">
      <c r="A5" s="27" t="inlineStr">
        <is>
          <t>3. 공급자마다 동일한 수량 구간(10/20/30/50/100)으로 견적을 받아야 비교가 성립합니다.</t>
        </is>
      </c>
    </row>
    <row r="6">
      <c r="A6" s="27" t="inlineStr">
        <is>
          <t>4. 회신이 오지 않은 항목은 비워 둡니다. 0으로 채우지 마십시오.</t>
        </is>
      </c>
    </row>
    <row r="7">
      <c r="A7" s="27" t="inlineStr"/>
    </row>
    <row r="8">
      <c r="A8" s="28" t="inlineStr">
        <is>
          <t>왜 0으로 채우면 안 되는가</t>
        </is>
      </c>
    </row>
    <row r="9">
      <c r="A9" s="27" t="inlineStr">
        <is>
          <t xml:space="preserve">   0은 '비용이 없다'는 뜻입니다. 미회신은 '모른다'는 뜻입니다.</t>
        </is>
      </c>
    </row>
    <row r="10">
      <c r="A10" s="27" t="inlineStr">
        <is>
          <t xml:space="preserve">   0으로 채우면 손해 나는 상품이 이익 나는 상품처럼 보입니다.</t>
        </is>
      </c>
    </row>
    <row r="11">
      <c r="A11" s="27" t="inlineStr">
        <is>
          <t xml:space="preserve">   비워 두면 계산기는 계산을 거부합니다. 그것이 올바른 동작입니다.</t>
        </is>
      </c>
    </row>
    <row r="12">
      <c r="A12" s="27" t="inlineStr"/>
    </row>
    <row r="13">
      <c r="A13" s="28" t="inlineStr">
        <is>
          <t>계산 구조</t>
        </is>
      </c>
    </row>
    <row r="14">
      <c r="A14" s="27" t="inlineStr">
        <is>
          <t xml:space="preserve">   실원가/장      = 변동원가(임가공+원단+부자재+라벨+포장) + 고정비(패턴+그레이딩+샘플)/수량</t>
        </is>
      </c>
    </row>
    <row r="15">
      <c r="A15" s="27" t="inlineStr">
        <is>
          <t xml:space="preserve">   기여이익/장    = 판매가 − 실원가 − 결제수수료 − 배송보조 − 반품충당</t>
        </is>
      </c>
    </row>
    <row r="16">
      <c r="A16" s="27" t="inlineStr">
        <is>
          <t xml:space="preserve">   손익분기 수량  = 기여이익/장 &gt; 0 이 되는 최소 수량</t>
        </is>
      </c>
    </row>
    <row r="17">
      <c r="A17" s="27" t="inlineStr"/>
    </row>
    <row r="18">
      <c r="A18" s="28" t="inlineStr">
        <is>
          <t>손익분기 수량이 중요한 이유</t>
        </is>
      </c>
    </row>
    <row r="19">
      <c r="A19" s="27" t="inlineStr">
        <is>
          <t xml:space="preserve">   pre-order는 판매가 끝나야 수량을 알지만, 가격은 판매 전에 정해야 합니다.</t>
        </is>
      </c>
    </row>
    <row r="20">
      <c r="A20" s="27" t="inlineStr">
        <is>
          <t xml:space="preserve">   이 수량이 곧 PreorderRun.minimum_quantity 이며,</t>
        </is>
      </c>
    </row>
    <row r="21">
      <c r="A21" s="27" t="inlineStr">
        <is>
          <t xml:space="preserve">   주문이 여기에 미달하면 생산하지 않고 전액 환불합니다(UNDERSUBSCRIBED → REFUNDED).</t>
        </is>
      </c>
    </row>
    <row r="22">
      <c r="A22" s="27" t="inlineStr">
        <is>
          <t xml:space="preserve">   이 값이 없으면 pre-order를 열 수 없습니다.</t>
        </is>
      </c>
    </row>
    <row r="23">
      <c r="A23" s="27" t="inlineStr"/>
    </row>
    <row r="24">
      <c r="A24" s="28" t="inlineStr">
        <is>
          <t>다음 단계</t>
        </is>
      </c>
    </row>
    <row r="25">
      <c r="A25" s="27" t="inlineStr">
        <is>
          <t xml:space="preserve">   손익분기 수량 확정 → 판매가 확정 → 상품 페이지에 납기 고지 → pre-order 오픈</t>
        </is>
      </c>
    </row>
    <row r="26">
      <c r="A26" s="27" t="inlineStr"/>
    </row>
    <row r="27">
      <c r="A27" s="28" t="inlineStr">
        <is>
          <t>관련 문서</t>
        </is>
      </c>
    </row>
    <row r="28">
      <c r="A28" s="27" t="inlineStr">
        <is>
          <t xml:space="preserve">   docs/business/02_FIRST_GARMENT_EXECUTION.md   견적 질문지 · 데이터 모델 · 상태 머신</t>
        </is>
      </c>
    </row>
    <row r="29">
      <c r="A29" s="27" t="inlineStr">
        <is>
          <t xml:space="preserve">   docs/business/03_SUPPLIER_SOURCING.md         발송처 · 판단 기준</t>
        </is>
      </c>
    </row>
    <row r="30">
      <c r="A30" s="27" t="inlineStr">
        <is>
          <t xml:space="preserve">   docs/business/UNIT_ECONOMICS.md               UNKNOWN 관리 원칙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2026-08-15T10:53:10Z</dcterms:created>
  <dcterms:modified xsi:type="dcterms:W3CDTF">2026-08-15T10:53:10Z</dcterms:modified>
</cp:coreProperties>
</file>